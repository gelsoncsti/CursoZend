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795998\Downloads\RTC 24875553\"/>
    </mc:Choice>
  </mc:AlternateContent>
  <xr:revisionPtr revIDLastSave="0" documentId="13_ncr:1_{CE261DFE-0B69-44DD-86E8-333D054E2877}" xr6:coauthVersionLast="47" xr6:coauthVersionMax="47" xr10:uidLastSave="{00000000-0000-0000-0000-000000000000}"/>
  <bookViews>
    <workbookView xWindow="-120" yWindow="-120" windowWidth="20730" windowHeight="11040" activeTab="3" xr2:uid="{C1188C6E-4C5B-4DBF-9BF0-FC66D8A349B6}"/>
  </bookViews>
  <sheets>
    <sheet name="Cadastros" sheetId="1" r:id="rId1"/>
    <sheet name="Autenticações" sheetId="2" r:id="rId2"/>
    <sheet name="Dashboard" sheetId="16" r:id="rId3"/>
    <sheet name="Planilha1" sheetId="17" r:id="rId4"/>
    <sheet name="Planilha2" sheetId="18" r:id="rId5"/>
    <sheet name="Planilha3" sheetId="1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6" l="1"/>
  <c r="K8" i="16"/>
  <c r="D8" i="2"/>
  <c r="B8" i="2"/>
  <c r="H15" i="16"/>
  <c r="I15" i="16"/>
  <c r="J15" i="16"/>
  <c r="K15" i="16" s="1"/>
  <c r="H14" i="16"/>
  <c r="I14" i="16"/>
  <c r="J14" i="16"/>
  <c r="H13" i="16"/>
  <c r="I13" i="16"/>
  <c r="J13" i="16"/>
  <c r="H12" i="16"/>
  <c r="I12" i="16"/>
  <c r="J12" i="16"/>
  <c r="A15" i="16"/>
  <c r="B15" i="16"/>
  <c r="C15" i="16"/>
  <c r="D15" i="16"/>
  <c r="E15" i="16"/>
  <c r="A14" i="16"/>
  <c r="B14" i="16"/>
  <c r="C14" i="16"/>
  <c r="D14" i="16"/>
  <c r="E14" i="16"/>
  <c r="A13" i="16"/>
  <c r="B13" i="16"/>
  <c r="C13" i="16"/>
  <c r="D13" i="16"/>
  <c r="E13" i="16"/>
  <c r="A12" i="16"/>
  <c r="B12" i="16"/>
  <c r="C12" i="16"/>
  <c r="D12" i="16"/>
  <c r="E12" i="16"/>
  <c r="B8" i="16"/>
  <c r="F8" i="16"/>
  <c r="D8" i="16"/>
  <c r="E8" i="2"/>
  <c r="C8" i="2"/>
  <c r="D7" i="1"/>
  <c r="C7" i="1"/>
  <c r="B7" i="1"/>
  <c r="E6" i="1"/>
  <c r="E5" i="1"/>
  <c r="E4" i="1"/>
  <c r="E3" i="1"/>
  <c r="D16" i="16" l="1"/>
  <c r="E16" i="16"/>
  <c r="B16" i="16"/>
  <c r="C16" i="16"/>
  <c r="J16" i="16"/>
  <c r="K13" i="16"/>
  <c r="I16" i="16"/>
  <c r="K14" i="16"/>
  <c r="I6" i="16"/>
  <c r="I8" i="16"/>
  <c r="K12" i="16"/>
  <c r="E7" i="1"/>
  <c r="K16" i="16" l="1"/>
  <c r="L14" i="16" l="1"/>
  <c r="L15" i="16"/>
  <c r="L13" i="16"/>
  <c r="L12" i="16"/>
  <c r="L16" i="16" l="1"/>
</calcChain>
</file>

<file path=xl/sharedStrings.xml><?xml version="1.0" encoding="utf-8"?>
<sst xmlns="http://schemas.openxmlformats.org/spreadsheetml/2006/main" count="49" uniqueCount="43">
  <si>
    <t xml:space="preserve">Face </t>
  </si>
  <si>
    <t>Canais 
Digitais</t>
  </si>
  <si>
    <t>Unidades 
Lotéricas</t>
  </si>
  <si>
    <t>TSE</t>
  </si>
  <si>
    <t>Canal</t>
  </si>
  <si>
    <t>Origem</t>
  </si>
  <si>
    <t>Totais</t>
  </si>
  <si>
    <t xml:space="preserve">Digitais </t>
  </si>
  <si>
    <r>
      <t xml:space="preserve">Autenticações Biométricas em dd/mm/aaaa
</t>
    </r>
    <r>
      <rPr>
        <sz val="8"/>
        <color theme="1"/>
        <rFont val="Calibri"/>
        <family val="2"/>
        <scheme val="minor"/>
      </rPr>
      <t>(*) Dados atualizados às hh:mm</t>
    </r>
  </si>
  <si>
    <r>
      <t xml:space="preserve">Totalizadores de Cadastros Biométricos por CPF 
</t>
    </r>
    <r>
      <rPr>
        <b/>
        <sz val="8"/>
        <color theme="2" tint="-0.499984740745262"/>
        <rFont val="Calibri"/>
        <family val="2"/>
        <scheme val="minor"/>
      </rPr>
      <t>(Acumulado até dd/mm/aaaa hh:mm)</t>
    </r>
  </si>
  <si>
    <t>% do Total</t>
  </si>
  <si>
    <t>Digitais</t>
  </si>
  <si>
    <t>Face</t>
  </si>
  <si>
    <t>Total</t>
  </si>
  <si>
    <t>Canais Digitais</t>
  </si>
  <si>
    <t>Salas de Auto
Atendimento</t>
  </si>
  <si>
    <t>Banco24Horas</t>
  </si>
  <si>
    <t>Agência 
SICDF e Plataforma CAIXA</t>
  </si>
  <si>
    <t xml:space="preserve">CPFs com somente Face </t>
  </si>
  <si>
    <t>CPFs com somente Digitais</t>
  </si>
  <si>
    <t>CPFs com Face e Digitais</t>
  </si>
  <si>
    <t>Total de CPFs com biometria</t>
  </si>
  <si>
    <t>Total Autenticações</t>
  </si>
  <si>
    <t>Salas de Autoatendimento</t>
  </si>
  <si>
    <t>Somente Face</t>
  </si>
  <si>
    <t>Somente Digitais</t>
  </si>
  <si>
    <t>📊 DASHBOARD - CADASTROS E AUTENTICAÇÕES BIOMÉTRICAS</t>
  </si>
  <si>
    <t>Atualizado em: 14/04/2026 15:05</t>
  </si>
  <si>
    <t>📋 CADASTROS BIOMÉTRICOS - INDICADORES</t>
  </si>
  <si>
    <t>Total de CPFs</t>
  </si>
  <si>
    <t>CPFs Face+Digital</t>
  </si>
  <si>
    <t>📊 Detalhamento por Origem</t>
  </si>
  <si>
    <t>Face e Digitais</t>
  </si>
  <si>
    <t>🔐 AUTENTICAÇÕES BIOMÉTRICAS - INDICADORES</t>
  </si>
  <si>
    <t>Por Digitais</t>
  </si>
  <si>
    <t>Por Face</t>
  </si>
  <si>
    <t>📊 Detalhamento por Canal</t>
  </si>
  <si>
    <t>Positivas</t>
  </si>
  <si>
    <t>Negativas</t>
  </si>
  <si>
    <t xml:space="preserve">Positivas </t>
  </si>
  <si>
    <t>CPFs somente Face</t>
  </si>
  <si>
    <t>CPFs somente Digitais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</si>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</sst>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2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65911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2"/>
      <color rgb="FF548235"/>
      <name val="Calibri"/>
      <family val="2"/>
      <scheme val="minor"/>
    </font>
    <font>
      <b/>
      <sz val="12"/>
      <color rgb="FF375623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slantDashDot">
        <color theme="2" tint="-9.9948118533890809E-2"/>
      </top>
      <bottom style="slantDashDot">
        <color theme="2" tint="-9.9948118533890809E-2"/>
      </bottom>
      <diagonal/>
    </border>
    <border>
      <left/>
      <right/>
      <top/>
      <bottom style="slantDashDot">
        <color theme="2" tint="-9.9948118533890809E-2"/>
      </bottom>
      <diagonal/>
    </border>
    <border>
      <left/>
      <right/>
      <top style="slantDashDot">
        <color theme="2" tint="-9.9948118533890809E-2"/>
      </top>
      <bottom style="thick">
        <color theme="4" tint="0.39994506668294322"/>
      </bottom>
      <diagonal/>
    </border>
    <border>
      <left/>
      <right/>
      <top style="thin">
        <color indexed="64"/>
      </top>
      <bottom style="slantDashDot">
        <color theme="2" tint="-9.9948118533890809E-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wrapText="1" indent="1"/>
    </xf>
    <xf numFmtId="0" fontId="0" fillId="0" borderId="3" xfId="0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2" fillId="3" borderId="5" xfId="0" applyFont="1" applyFill="1" applyBorder="1" applyAlignment="1">
      <alignment horizontal="left" vertical="center" indent="1"/>
    </xf>
    <xf numFmtId="0" fontId="2" fillId="0" borderId="4" xfId="0" applyFont="1" applyBorder="1" applyAlignment="1">
      <alignment horizontal="right" vertical="center" indent="1"/>
    </xf>
    <xf numFmtId="0" fontId="2" fillId="3" borderId="3" xfId="0" applyFont="1" applyFill="1" applyBorder="1" applyAlignment="1">
      <alignment horizontal="right" vertical="center" indent="1"/>
    </xf>
    <xf numFmtId="0" fontId="2" fillId="0" borderId="3" xfId="0" applyFont="1" applyBorder="1" applyAlignment="1">
      <alignment horizontal="right" vertical="center" indent="1"/>
    </xf>
    <xf numFmtId="0" fontId="1" fillId="2" borderId="6" xfId="0" applyFont="1" applyFill="1" applyBorder="1" applyAlignment="1">
      <alignment horizontal="left" vertical="center" inden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6" fillId="7" borderId="7" xfId="0" applyFont="1" applyFill="1" applyBorder="1"/>
    <xf numFmtId="0" fontId="6" fillId="9" borderId="7" xfId="0" applyFont="1" applyFill="1" applyBorder="1"/>
    <xf numFmtId="0" fontId="10" fillId="4" borderId="0" xfId="0" applyFont="1" applyFill="1"/>
    <xf numFmtId="0" fontId="0" fillId="4" borderId="0" xfId="0" applyFill="1"/>
    <xf numFmtId="0" fontId="7" fillId="5" borderId="0" xfId="0" applyFont="1" applyFill="1"/>
    <xf numFmtId="0" fontId="0" fillId="5" borderId="0" xfId="0" applyFill="1"/>
    <xf numFmtId="0" fontId="0" fillId="6" borderId="0" xfId="0" applyFill="1"/>
    <xf numFmtId="0" fontId="8" fillId="6" borderId="0" xfId="0" applyFont="1" applyFill="1"/>
    <xf numFmtId="0" fontId="0" fillId="8" borderId="0" xfId="0" applyFill="1"/>
    <xf numFmtId="0" fontId="9" fillId="8" borderId="0" xfId="0" applyFont="1" applyFill="1"/>
    <xf numFmtId="0" fontId="8" fillId="10" borderId="0" xfId="0" applyFont="1" applyFill="1"/>
    <xf numFmtId="0" fontId="0" fillId="10" borderId="0" xfId="0" applyFill="1"/>
    <xf numFmtId="0" fontId="9" fillId="9" borderId="0" xfId="0" applyFont="1" applyFill="1"/>
    <xf numFmtId="0" fontId="0" fillId="9" borderId="0" xfId="0" applyFill="1"/>
    <xf numFmtId="0" fontId="1" fillId="2" borderId="4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3" borderId="3" xfId="0" applyFont="1" applyFill="1" applyBorder="1" applyAlignment="1">
      <alignment horizontal="left" vertical="center" wrapText="1" indent="1"/>
    </xf>
    <xf numFmtId="0" fontId="0" fillId="0" borderId="7" xfId="0" applyBorder="1" applyAlignment="1">
      <alignment horizontal="left" indent="1"/>
    </xf>
    <xf numFmtId="0" fontId="0" fillId="0" borderId="0" xfId="0" applyAlignment="1">
      <alignment horizontal="left" indent="1"/>
    </xf>
    <xf numFmtId="3" fontId="0" fillId="0" borderId="7" xfId="0" applyNumberFormat="1" applyBorder="1" applyAlignment="1">
      <alignment horizontal="right" indent="1"/>
    </xf>
    <xf numFmtId="164" fontId="0" fillId="0" borderId="7" xfId="0" applyNumberFormat="1" applyBorder="1" applyAlignment="1">
      <alignment horizontal="right" indent="1"/>
    </xf>
    <xf numFmtId="3" fontId="6" fillId="9" borderId="7" xfId="0" applyNumberFormat="1" applyFont="1" applyFill="1" applyBorder="1" applyAlignment="1">
      <alignment horizontal="right" indent="1"/>
    </xf>
    <xf numFmtId="164" fontId="6" fillId="9" borderId="7" xfId="0" applyNumberFormat="1" applyFont="1" applyFill="1" applyBorder="1" applyAlignment="1">
      <alignment horizontal="right" indent="1"/>
    </xf>
    <xf numFmtId="0" fontId="9" fillId="15" borderId="0" xfId="0" applyFont="1" applyFill="1" applyAlignment="1">
      <alignment horizontal="left" vertical="center" indent="1"/>
    </xf>
    <xf numFmtId="3" fontId="11" fillId="15" borderId="0" xfId="0" applyNumberFormat="1" applyFont="1" applyFill="1" applyAlignment="1">
      <alignment horizontal="right" vertical="center" indent="1"/>
    </xf>
    <xf numFmtId="0" fontId="12" fillId="15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3" fontId="11" fillId="0" borderId="0" xfId="0" applyNumberFormat="1" applyFont="1" applyAlignment="1">
      <alignment horizontal="right" vertical="center" indent="1"/>
    </xf>
    <xf numFmtId="0" fontId="12" fillId="0" borderId="0" xfId="0" applyFont="1" applyAlignment="1">
      <alignment horizontal="left" vertical="center" indent="1"/>
    </xf>
    <xf numFmtId="0" fontId="9" fillId="12" borderId="0" xfId="0" applyFont="1" applyFill="1" applyAlignment="1">
      <alignment horizontal="left" vertical="center" indent="1"/>
    </xf>
    <xf numFmtId="3" fontId="13" fillId="12" borderId="0" xfId="0" applyNumberFormat="1" applyFont="1" applyFill="1" applyAlignment="1">
      <alignment horizontal="right" vertical="center" indent="1"/>
    </xf>
    <xf numFmtId="0" fontId="9" fillId="13" borderId="0" xfId="0" applyFont="1" applyFill="1" applyAlignment="1">
      <alignment horizontal="left" vertical="center" indent="1"/>
    </xf>
    <xf numFmtId="3" fontId="14" fillId="13" borderId="0" xfId="0" applyNumberFormat="1" applyFont="1" applyFill="1" applyAlignment="1">
      <alignment horizontal="right" vertical="center" indent="1"/>
    </xf>
    <xf numFmtId="0" fontId="9" fillId="14" borderId="0" xfId="0" applyFont="1" applyFill="1" applyAlignment="1">
      <alignment horizontal="left" vertical="center" indent="1"/>
    </xf>
    <xf numFmtId="3" fontId="15" fillId="14" borderId="0" xfId="0" applyNumberFormat="1" applyFont="1" applyFill="1" applyAlignment="1">
      <alignment horizontal="left" vertical="center" indent="2"/>
    </xf>
    <xf numFmtId="0" fontId="9" fillId="15" borderId="0" xfId="0" applyFont="1" applyFill="1" applyAlignment="1">
      <alignment horizontal="left" indent="1"/>
    </xf>
    <xf numFmtId="3" fontId="16" fillId="15" borderId="0" xfId="0" applyNumberFormat="1" applyFont="1" applyFill="1" applyAlignment="1">
      <alignment horizontal="left" indent="1"/>
    </xf>
    <xf numFmtId="0" fontId="12" fillId="15" borderId="0" xfId="0" applyFont="1" applyFill="1" applyAlignment="1">
      <alignment horizontal="left" indent="1"/>
    </xf>
    <xf numFmtId="0" fontId="12" fillId="0" borderId="0" xfId="0" applyFont="1" applyAlignment="1">
      <alignment horizontal="left" indent="1"/>
    </xf>
    <xf numFmtId="0" fontId="9" fillId="0" borderId="0" xfId="0" applyFont="1" applyAlignment="1">
      <alignment horizontal="left" indent="1"/>
    </xf>
    <xf numFmtId="3" fontId="14" fillId="0" borderId="0" xfId="0" applyNumberFormat="1" applyFont="1" applyAlignment="1">
      <alignment horizontal="left" indent="1"/>
    </xf>
    <xf numFmtId="0" fontId="9" fillId="12" borderId="0" xfId="0" applyFont="1" applyFill="1" applyAlignment="1">
      <alignment horizontal="left" indent="1"/>
    </xf>
    <xf numFmtId="3" fontId="14" fillId="12" borderId="0" xfId="0" applyNumberFormat="1" applyFont="1" applyFill="1" applyAlignment="1">
      <alignment horizontal="left" indent="1"/>
    </xf>
    <xf numFmtId="0" fontId="9" fillId="14" borderId="0" xfId="0" applyFont="1" applyFill="1" applyAlignment="1">
      <alignment horizontal="left" indent="1"/>
    </xf>
    <xf numFmtId="3" fontId="13" fillId="14" borderId="0" xfId="0" applyNumberFormat="1" applyFont="1" applyFill="1" applyAlignment="1">
      <alignment horizontal="left" inden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8" fillId="7" borderId="0" xfId="0" applyFont="1" applyFill="1" applyBorder="1" applyAlignment="1">
      <alignment vertical="center"/>
    </xf>
    <xf numFmtId="3" fontId="18" fillId="7" borderId="0" xfId="0" applyNumberFormat="1" applyFont="1" applyFill="1" applyBorder="1" applyAlignment="1">
      <alignment horizontal="right" vertical="center"/>
    </xf>
    <xf numFmtId="3" fontId="18" fillId="7" borderId="0" xfId="0" applyNumberFormat="1" applyFont="1" applyFill="1" applyBorder="1" applyAlignment="1">
      <alignment horizontal="right"/>
    </xf>
    <xf numFmtId="0" fontId="19" fillId="0" borderId="0" xfId="0" applyFont="1" applyBorder="1" applyAlignment="1">
      <alignment horizontal="left" vertical="center"/>
    </xf>
    <xf numFmtId="3" fontId="19" fillId="0" borderId="0" xfId="0" applyNumberFormat="1" applyFont="1" applyBorder="1" applyAlignment="1">
      <alignment horizontal="right" vertical="center"/>
    </xf>
    <xf numFmtId="3" fontId="19" fillId="0" borderId="0" xfId="0" applyNumberFormat="1" applyFont="1" applyBorder="1" applyAlignment="1">
      <alignment horizontal="right" indent="1"/>
    </xf>
    <xf numFmtId="0" fontId="17" fillId="11" borderId="0" xfId="0" applyFont="1" applyFill="1" applyBorder="1" applyAlignment="1">
      <alignment vertical="center"/>
    </xf>
    <xf numFmtId="0" fontId="17" fillId="11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200"/>
      <color rgb="FFF6B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386640910409574E-2"/>
          <c:y val="0.32267284559215531"/>
          <c:w val="0.82646385930412936"/>
          <c:h val="0.46278962350443487"/>
        </c:manualLayout>
      </c:layout>
      <c:pie3DChart>
        <c:varyColors val="1"/>
        <c:ser>
          <c:idx val="0"/>
          <c:order val="0"/>
          <c:tx>
            <c:strRef>
              <c:f>Cadastros!$B$1:$B$2</c:f>
              <c:strCache>
                <c:ptCount val="2"/>
                <c:pt idx="0">
                  <c:v>Totalizadores de Cadastros Biométricos por CPF 
(Acumulado até dd/mm/aaaa hh:mm)</c:v>
                </c:pt>
                <c:pt idx="1">
                  <c:v>CPFs com somente Face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2542-4D05-B259-BB5AD30401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542-4D05-B259-BB5AD30401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542-4D05-B259-BB5AD30401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839-49FC-B0CA-6B634011DB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542-4D05-B259-BB5AD304014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542-4D05-B259-BB5AD304014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42-4D05-B259-BB5AD304014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42-4D05-B259-BB5AD3040149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42-4D05-B259-BB5AD30401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Cadastros!$A$3:$A$7</c:f>
              <c:strCache>
                <c:ptCount val="5"/>
                <c:pt idx="0">
                  <c:v>Agência 
SICDF e Plataforma CAIXA</c:v>
                </c:pt>
                <c:pt idx="1">
                  <c:v>Canais 
Digitais</c:v>
                </c:pt>
                <c:pt idx="2">
                  <c:v>TSE</c:v>
                </c:pt>
                <c:pt idx="3">
                  <c:v>Salas de Autoatendimento</c:v>
                </c:pt>
                <c:pt idx="4">
                  <c:v>Totais</c:v>
                </c:pt>
              </c:strCache>
            </c:strRef>
          </c:cat>
          <c:val>
            <c:numRef>
              <c:f>Cadastros!$B$3:$B$7</c:f>
              <c:numCache>
                <c:formatCode>General</c:formatCode>
                <c:ptCount val="5"/>
                <c:pt idx="0">
                  <c:v>111</c:v>
                </c:pt>
                <c:pt idx="1">
                  <c:v>123</c:v>
                </c:pt>
                <c:pt idx="2">
                  <c:v>987</c:v>
                </c:pt>
                <c:pt idx="3">
                  <c:v>0</c:v>
                </c:pt>
                <c:pt idx="4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2-4D05-B259-BB5AD3040149}"/>
            </c:ext>
          </c:extLst>
        </c:ser>
        <c:ser>
          <c:idx val="1"/>
          <c:order val="1"/>
          <c:tx>
            <c:strRef>
              <c:f>Cadastros!$C$1:$C$2</c:f>
              <c:strCache>
                <c:ptCount val="2"/>
                <c:pt idx="0">
                  <c:v>Totalizadores de Cadastros Biométricos por CPF 
(Acumulado até dd/mm/aaaa hh:mm)</c:v>
                </c:pt>
                <c:pt idx="1">
                  <c:v>CPFs com somente Digitais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839-49FC-B0CA-6B634011DB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839-49FC-B0CA-6B634011DB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839-49FC-B0CA-6B634011DB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839-49FC-B0CA-6B634011DB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839-49FC-B0CA-6B634011DBD1}"/>
              </c:ext>
            </c:extLst>
          </c:dPt>
          <c:cat>
            <c:strRef>
              <c:f>Cadastros!$A$3:$A$7</c:f>
              <c:strCache>
                <c:ptCount val="5"/>
                <c:pt idx="0">
                  <c:v>Agência 
SICDF e Plataforma CAIXA</c:v>
                </c:pt>
                <c:pt idx="1">
                  <c:v>Canais 
Digitais</c:v>
                </c:pt>
                <c:pt idx="2">
                  <c:v>TSE</c:v>
                </c:pt>
                <c:pt idx="3">
                  <c:v>Salas de Autoatendimento</c:v>
                </c:pt>
                <c:pt idx="4">
                  <c:v>Totais</c:v>
                </c:pt>
              </c:strCache>
            </c:strRef>
          </c:cat>
          <c:val>
            <c:numRef>
              <c:f>Cadastros!$C$3:$C$7</c:f>
              <c:numCache>
                <c:formatCode>General</c:formatCode>
                <c:ptCount val="5"/>
                <c:pt idx="0">
                  <c:v>222</c:v>
                </c:pt>
                <c:pt idx="1">
                  <c:v>0</c:v>
                </c:pt>
                <c:pt idx="2">
                  <c:v>654</c:v>
                </c:pt>
                <c:pt idx="3">
                  <c:v>951</c:v>
                </c:pt>
                <c:pt idx="4">
                  <c:v>1827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2-4D05-B259-BB5AD3040149}"/>
            </c:ext>
          </c:extLst>
        </c:ser>
        <c:ser>
          <c:idx val="2"/>
          <c:order val="2"/>
          <c:tx>
            <c:strRef>
              <c:f>Cadastros!$D$1:$D$2</c:f>
              <c:strCache>
                <c:ptCount val="2"/>
                <c:pt idx="0">
                  <c:v>Totalizadores de Cadastros Biométricos por CPF 
(Acumulado até dd/mm/aaaa hh:mm)</c:v>
                </c:pt>
                <c:pt idx="1">
                  <c:v>CPFs com Face e Digitais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9839-49FC-B0CA-6B634011DB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9839-49FC-B0CA-6B634011DB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9839-49FC-B0CA-6B634011DB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9839-49FC-B0CA-6B634011DB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9839-49FC-B0CA-6B634011DBD1}"/>
              </c:ext>
            </c:extLst>
          </c:dPt>
          <c:cat>
            <c:strRef>
              <c:f>Cadastros!$A$3:$A$7</c:f>
              <c:strCache>
                <c:ptCount val="5"/>
                <c:pt idx="0">
                  <c:v>Agência 
SICDF e Plataforma CAIXA</c:v>
                </c:pt>
                <c:pt idx="1">
                  <c:v>Canais 
Digitais</c:v>
                </c:pt>
                <c:pt idx="2">
                  <c:v>TSE</c:v>
                </c:pt>
                <c:pt idx="3">
                  <c:v>Salas de Autoatendimento</c:v>
                </c:pt>
                <c:pt idx="4">
                  <c:v>Totais</c:v>
                </c:pt>
              </c:strCache>
            </c:strRef>
          </c:cat>
          <c:val>
            <c:numRef>
              <c:f>Cadastros!$D$3:$D$7</c:f>
              <c:numCache>
                <c:formatCode>General</c:formatCode>
                <c:ptCount val="5"/>
                <c:pt idx="0">
                  <c:v>333</c:v>
                </c:pt>
                <c:pt idx="1">
                  <c:v>0</c:v>
                </c:pt>
                <c:pt idx="2">
                  <c:v>321</c:v>
                </c:pt>
                <c:pt idx="3">
                  <c:v>0</c:v>
                </c:pt>
                <c:pt idx="4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42-4D05-B259-BB5AD3040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0.19287900462801966"/>
          <c:w val="1"/>
          <c:h val="0.44846560759975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Autenticações!$C$1:$C$2</c:f>
              <c:strCache>
                <c:ptCount val="2"/>
                <c:pt idx="0">
                  <c:v>Autenticações Biométricas em dd/mm/aaaa
(*) Dados atualizados às hh:mm</c:v>
                </c:pt>
                <c:pt idx="1">
                  <c:v>Digitais 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B6-4A16-BF78-DD6A30648E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B6-4A16-BF78-DD6A30648E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B6-4A16-BF78-DD6A30648E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B6-4A16-BF78-DD6A30648E8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B6-4A16-BF78-DD6A30648E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Autenticações!$A$4:$A$8</c:f>
              <c:strCache>
                <c:ptCount val="5"/>
                <c:pt idx="0">
                  <c:v>Salas de Auto
Atendimento</c:v>
                </c:pt>
                <c:pt idx="1">
                  <c:v>Unidades 
Lotéricas</c:v>
                </c:pt>
                <c:pt idx="2">
                  <c:v>Canais Digitais</c:v>
                </c:pt>
                <c:pt idx="3">
                  <c:v>Banco24Horas</c:v>
                </c:pt>
                <c:pt idx="4">
                  <c:v>Totais</c:v>
                </c:pt>
              </c:strCache>
            </c:strRef>
          </c:cat>
          <c:val>
            <c:numRef>
              <c:f>Autenticações!$C$4:$C$8</c:f>
              <c:numCache>
                <c:formatCode>General</c:formatCode>
                <c:ptCount val="5"/>
                <c:pt idx="0">
                  <c:v>5678</c:v>
                </c:pt>
                <c:pt idx="1">
                  <c:v>9101</c:v>
                </c:pt>
                <c:pt idx="2">
                  <c:v>0</c:v>
                </c:pt>
                <c:pt idx="3">
                  <c:v>1234</c:v>
                </c:pt>
                <c:pt idx="4">
                  <c:v>16013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9-4758-89A0-A4BD5883139F}"/>
            </c:ext>
          </c:extLst>
        </c:ser>
        <c:ser>
          <c:idx val="1"/>
          <c:order val="1"/>
          <c:tx>
            <c:strRef>
              <c:f>Autenticações!$E$1:$E$2</c:f>
              <c:strCache>
                <c:ptCount val="2"/>
                <c:pt idx="0">
                  <c:v>Autenticações Biométricas em dd/mm/aaaa
(*) Dados atualizados às hh:mm</c:v>
                </c:pt>
                <c:pt idx="1">
                  <c:v>Face 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B6-4A16-BF78-DD6A30648E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B6-4A16-BF78-DD6A30648E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8B6-4A16-BF78-DD6A30648E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8B6-4A16-BF78-DD6A30648E8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8B6-4A16-BF78-DD6A30648E8E}"/>
              </c:ext>
            </c:extLst>
          </c:dPt>
          <c:cat>
            <c:strRef>
              <c:f>Autenticações!$A$4:$A$8</c:f>
              <c:strCache>
                <c:ptCount val="5"/>
                <c:pt idx="0">
                  <c:v>Salas de Auto
Atendimento</c:v>
                </c:pt>
                <c:pt idx="1">
                  <c:v>Unidades 
Lotéricas</c:v>
                </c:pt>
                <c:pt idx="2">
                  <c:v>Canais Digitais</c:v>
                </c:pt>
                <c:pt idx="3">
                  <c:v>Banco24Horas</c:v>
                </c:pt>
                <c:pt idx="4">
                  <c:v>Totais</c:v>
                </c:pt>
              </c:strCache>
            </c:strRef>
          </c:cat>
          <c:val>
            <c:numRef>
              <c:f>Autenticações!$E$4:$E$8</c:f>
              <c:numCache>
                <c:formatCode>General</c:formatCode>
                <c:ptCount val="5"/>
                <c:pt idx="0">
                  <c:v>555</c:v>
                </c:pt>
                <c:pt idx="1">
                  <c:v>456</c:v>
                </c:pt>
                <c:pt idx="2">
                  <c:v>12345</c:v>
                </c:pt>
                <c:pt idx="3">
                  <c:v>0</c:v>
                </c:pt>
                <c:pt idx="4">
                  <c:v>13356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9-4758-89A0-A4BD58831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11950015"/>
        <c:axId val="1411962495"/>
      </c:barChart>
      <c:catAx>
        <c:axId val="1411950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1962495"/>
        <c:crosses val="autoZero"/>
        <c:auto val="1"/>
        <c:lblAlgn val="ctr"/>
        <c:lblOffset val="100"/>
        <c:noMultiLvlLbl val="0"/>
      </c:catAx>
      <c:valAx>
        <c:axId val="141196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195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Cadastros por Tipo de Biometria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2623100600924404"/>
          <c:y val="0.21859090909090909"/>
          <c:w val="0.48043518827409615"/>
          <c:h val="0.7814090909090909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72-4D59-875A-BDA9D2B2C0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72-4D59-875A-BDA9D2B2C0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72-4D59-875A-BDA9D2B2C0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72-4D59-875A-BDA9D2B2C0C3}"/>
              </c:ext>
            </c:extLst>
          </c:dPt>
          <c:val>
            <c:numRef>
              <c:f>Dashboard!$B$12:$B$15</c:f>
              <c:numCache>
                <c:formatCode>#,##0</c:formatCode>
                <c:ptCount val="4"/>
                <c:pt idx="0">
                  <c:v>111</c:v>
                </c:pt>
                <c:pt idx="1">
                  <c:v>123</c:v>
                </c:pt>
                <c:pt idx="2">
                  <c:v>987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C-48DB-AFCE-C053DC0C7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Autenticações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Dashboard!$H$12:$H$15</c:f>
              <c:strCache>
                <c:ptCount val="4"/>
                <c:pt idx="0">
                  <c:v>Salas de Auto
Atendimento</c:v>
                </c:pt>
                <c:pt idx="1">
                  <c:v>Unidades 
Lotéricas</c:v>
                </c:pt>
                <c:pt idx="2">
                  <c:v>Canais Digitais</c:v>
                </c:pt>
                <c:pt idx="3">
                  <c:v>Banco24Horas</c:v>
                </c:pt>
              </c:strCache>
            </c:strRef>
          </c:cat>
          <c:val>
            <c:numRef>
              <c:f>Dashboard!$I$12:$I$15</c:f>
              <c:numCache>
                <c:formatCode>#,##0</c:formatCode>
                <c:ptCount val="4"/>
                <c:pt idx="0">
                  <c:v>5678</c:v>
                </c:pt>
                <c:pt idx="1">
                  <c:v>9101</c:v>
                </c:pt>
                <c:pt idx="2">
                  <c:v>0</c:v>
                </c:pt>
                <c:pt idx="3">
                  <c:v>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0-45D5-ABF0-2404FF9AD95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Dashboard!$H$12:$H$15</c:f>
              <c:strCache>
                <c:ptCount val="4"/>
                <c:pt idx="0">
                  <c:v>Salas de Auto
Atendimento</c:v>
                </c:pt>
                <c:pt idx="1">
                  <c:v>Unidades 
Lotéricas</c:v>
                </c:pt>
                <c:pt idx="2">
                  <c:v>Canais Digitais</c:v>
                </c:pt>
                <c:pt idx="3">
                  <c:v>Banco24Horas</c:v>
                </c:pt>
              </c:strCache>
            </c:strRef>
          </c:cat>
          <c:val>
            <c:numRef>
              <c:f>Dashboard!$J$12:$J$15</c:f>
              <c:numCache>
                <c:formatCode>#,##0</c:formatCode>
                <c:ptCount val="4"/>
                <c:pt idx="0">
                  <c:v>555</c:v>
                </c:pt>
                <c:pt idx="1">
                  <c:v>456</c:v>
                </c:pt>
                <c:pt idx="2">
                  <c:v>12345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0-45D5-ABF0-2404FF9AD95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Dashboard!$H$12:$H$15</c:f>
              <c:strCache>
                <c:ptCount val="4"/>
                <c:pt idx="0">
                  <c:v>Salas de Auto
Atendimento</c:v>
                </c:pt>
                <c:pt idx="1">
                  <c:v>Unidades 
Lotéricas</c:v>
                </c:pt>
                <c:pt idx="2">
                  <c:v>Canais Digitais</c:v>
                </c:pt>
                <c:pt idx="3">
                  <c:v>Banco24Horas</c:v>
                </c:pt>
              </c:strCache>
            </c:strRef>
          </c:cat>
          <c:val>
            <c:numRef>
              <c:f>Dashboard!$K$12:$K$15</c:f>
              <c:numCache>
                <c:formatCode>#,##0</c:formatCode>
                <c:ptCount val="4"/>
                <c:pt idx="0">
                  <c:v>6233</c:v>
                </c:pt>
                <c:pt idx="1">
                  <c:v>9557</c:v>
                </c:pt>
                <c:pt idx="2">
                  <c:v>12345</c:v>
                </c:pt>
                <c:pt idx="3">
                  <c:v>1234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0-45D5-ABF0-2404FF9AD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6323903"/>
        <c:axId val="866327743"/>
      </c:barChart>
      <c:catAx>
        <c:axId val="86632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327743"/>
        <c:crosses val="autoZero"/>
        <c:auto val="1"/>
        <c:lblAlgn val="ctr"/>
        <c:lblOffset val="100"/>
        <c:noMultiLvlLbl val="0"/>
      </c:catAx>
      <c:valAx>
        <c:axId val="86632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32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2623100600924404"/>
          <c:y val="0.21859090909090909"/>
          <c:w val="0.48043518827409615"/>
          <c:h val="0.7814090909090909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10-4409-9C24-1622D8D81D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10-4409-9C24-1622D8D81D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10-4409-9C24-1622D8D81D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10-4409-9C24-1622D8D81D85}"/>
              </c:ext>
            </c:extLst>
          </c:dPt>
          <c:val>
            <c:numRef>
              <c:f>Dashboard!$B$12:$B$15</c:f>
              <c:numCache>
                <c:formatCode>#,##0</c:formatCode>
                <c:ptCount val="4"/>
                <c:pt idx="0">
                  <c:v>111</c:v>
                </c:pt>
                <c:pt idx="1">
                  <c:v>123</c:v>
                </c:pt>
                <c:pt idx="2">
                  <c:v>987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10-4409-9C24-1622D8D81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21091</xdr:colOff>
      <xdr:row>6</xdr:row>
      <xdr:rowOff>407534</xdr:rowOff>
    </xdr:from>
    <xdr:to>
      <xdr:col>5</xdr:col>
      <xdr:colOff>11565</xdr:colOff>
      <xdr:row>13</xdr:row>
      <xdr:rowOff>83684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C7D2DB-D72A-AFB6-E456-4C6BE47AF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24848</xdr:colOff>
      <xdr:row>8</xdr:row>
      <xdr:rowOff>134590</xdr:rowOff>
    </xdr:from>
    <xdr:to>
      <xdr:col>7</xdr:col>
      <xdr:colOff>596348</xdr:colOff>
      <xdr:row>29</xdr:row>
      <xdr:rowOff>53897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6BAB04-3E86-6822-C317-E205EC160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17</xdr:row>
      <xdr:rowOff>44904</xdr:rowOff>
    </xdr:from>
    <xdr:to>
      <xdr:col>3</xdr:col>
      <xdr:colOff>685800</xdr:colOff>
      <xdr:row>33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CB9733-E811-A75E-EE53-7FF61C49D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982435</xdr:colOff>
      <xdr:row>16</xdr:row>
      <xdr:rowOff>111580</xdr:rowOff>
    </xdr:from>
    <xdr:to>
      <xdr:col>12</xdr:col>
      <xdr:colOff>132443</xdr:colOff>
      <xdr:row>32</xdr:row>
      <xdr:rowOff>9980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3711DB7-7F13-5390-2204-D2D20CD7B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145597</xdr:colOff>
      <xdr:row>0</xdr:row>
      <xdr:rowOff>0</xdr:rowOff>
    </xdr:from>
    <xdr:to>
      <xdr:col>26</xdr:col>
      <xdr:colOff>376441</xdr:colOff>
      <xdr:row>48</xdr:row>
      <xdr:rowOff>153698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DB1D7D-7BED-8F84-6FD7-7609E5C1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597" y="0"/>
          <a:ext cx="16151201" cy="9297698"/>
        </a:xfrm>
        <a:prstGeom prst="rect">
          <a:avLst/>
        </a:prstGeom>
      </xdr:spPr>
    </xdr:pic>
    <xdr:clientData/>
  </xdr:twoCellAnchor>
  <xdr:twoCellAnchor>
    <xdr:from>
      <xdr:col>0</xdr:col>
      <xdr:colOff>231321</xdr:colOff>
      <xdr:row>12</xdr:row>
      <xdr:rowOff>0</xdr:rowOff>
    </xdr:from>
    <xdr:to>
      <xdr:col>26</xdr:col>
      <xdr:colOff>258536</xdr:colOff>
      <xdr:row>14</xdr:row>
      <xdr:rowOff>28575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0B7E7C2-1C4F-F377-A338-B443CC76403E}"/>
            </a:ext>
          </a:extLst>
        </xdr:cNvPr>
        <xdr:cNvSpPr/>
      </xdr:nvSpPr>
      <xdr:spPr>
        <a:xfrm>
          <a:off x="231321" y="2286000"/>
          <a:ext cx="15947572" cy="409575"/>
        </a:xfrm>
        <a:prstGeom prst="roundRect">
          <a:avLst>
            <a:gd name="adj" fmla="val 2714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📊   DASHBOARD - </a:t>
          </a:r>
          <a:r>
            <a:rPr lang="pt-BR" sz="1600" b="1"/>
            <a:t>CADASTROS</a:t>
          </a:r>
          <a:r>
            <a:rPr lang="pt-BR" sz="1800" b="1"/>
            <a:t> E AUTENTICAÇÕES BIOMÉTRICAS</a:t>
          </a:r>
        </a:p>
      </xdr:txBody>
    </xdr:sp>
    <xdr:clientData/>
  </xdr:twoCellAnchor>
  <xdr:twoCellAnchor>
    <xdr:from>
      <xdr:col>0</xdr:col>
      <xdr:colOff>242205</xdr:colOff>
      <xdr:row>14</xdr:row>
      <xdr:rowOff>114300</xdr:rowOff>
    </xdr:from>
    <xdr:to>
      <xdr:col>13</xdr:col>
      <xdr:colOff>22026</xdr:colOff>
      <xdr:row>16</xdr:row>
      <xdr:rowOff>76200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1664E54-C764-2E76-1082-B13D7306F8C6}"/>
            </a:ext>
          </a:extLst>
        </xdr:cNvPr>
        <xdr:cNvSpPr/>
      </xdr:nvSpPr>
      <xdr:spPr>
        <a:xfrm>
          <a:off x="242205" y="2781300"/>
          <a:ext cx="7740000" cy="342900"/>
        </a:xfrm>
        <a:prstGeom prst="roundRect">
          <a:avLst>
            <a:gd name="adj" fmla="val 8334"/>
          </a:avLst>
        </a:prstGeom>
        <a:solidFill>
          <a:srgbClr val="FF9200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📋 CADASTROS BIOMÉTRICOS - INDICADORES</a:t>
          </a:r>
        </a:p>
      </xdr:txBody>
    </xdr:sp>
    <xdr:clientData/>
  </xdr:twoCellAnchor>
  <xdr:twoCellAnchor>
    <xdr:from>
      <xdr:col>13</xdr:col>
      <xdr:colOff>366033</xdr:colOff>
      <xdr:row>14</xdr:row>
      <xdr:rowOff>114300</xdr:rowOff>
    </xdr:from>
    <xdr:to>
      <xdr:col>26</xdr:col>
      <xdr:colOff>145855</xdr:colOff>
      <xdr:row>16</xdr:row>
      <xdr:rowOff>76200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257C3CF4-0E73-6481-1866-C41844A4553A}"/>
            </a:ext>
          </a:extLst>
        </xdr:cNvPr>
        <xdr:cNvSpPr/>
      </xdr:nvSpPr>
      <xdr:spPr>
        <a:xfrm>
          <a:off x="8326212" y="2781300"/>
          <a:ext cx="7740000" cy="342900"/>
        </a:xfrm>
        <a:prstGeom prst="roundRect">
          <a:avLst>
            <a:gd name="adj" fmla="val 8334"/>
          </a:avLst>
        </a:prstGeom>
        <a:solidFill>
          <a:srgbClr val="FF9200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🔐 AUTENTICAÇÕES BIOMÉTRICAS - INDICADORES</a:t>
          </a:r>
        </a:p>
      </xdr:txBody>
    </xdr:sp>
    <xdr:clientData/>
  </xdr:twoCellAnchor>
  <xdr:twoCellAnchor>
    <xdr:from>
      <xdr:col>0</xdr:col>
      <xdr:colOff>390525</xdr:colOff>
      <xdr:row>16</xdr:row>
      <xdr:rowOff>126065</xdr:rowOff>
    </xdr:from>
    <xdr:to>
      <xdr:col>4</xdr:col>
      <xdr:colOff>114300</xdr:colOff>
      <xdr:row>18</xdr:row>
      <xdr:rowOff>135590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4AD1C91A-E501-0457-6FBD-A7A6CE3EBFE8}"/>
            </a:ext>
          </a:extLst>
        </xdr:cNvPr>
        <xdr:cNvSpPr txBox="1"/>
      </xdr:nvSpPr>
      <xdr:spPr>
        <a:xfrm>
          <a:off x="390525" y="3174065"/>
          <a:ext cx="2144246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1">
              <a:solidFill>
                <a:schemeClr val="accent1">
                  <a:lumMod val="75000"/>
                </a:schemeClr>
              </a:solidFill>
            </a:rPr>
            <a:t>Total de CPFs:             3702</a:t>
          </a:r>
        </a:p>
      </xdr:txBody>
    </xdr:sp>
    <xdr:clientData/>
  </xdr:twoCellAnchor>
  <xdr:twoCellAnchor>
    <xdr:from>
      <xdr:col>0</xdr:col>
      <xdr:colOff>380999</xdr:colOff>
      <xdr:row>19</xdr:row>
      <xdr:rowOff>2240</xdr:rowOff>
    </xdr:from>
    <xdr:to>
      <xdr:col>4</xdr:col>
      <xdr:colOff>104034</xdr:colOff>
      <xdr:row>21</xdr:row>
      <xdr:rowOff>11765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1F86ADBE-1D5A-5E39-DE66-A7876FA3FC9E}"/>
            </a:ext>
          </a:extLst>
        </xdr:cNvPr>
        <xdr:cNvSpPr txBox="1"/>
      </xdr:nvSpPr>
      <xdr:spPr>
        <a:xfrm>
          <a:off x="380999" y="3621740"/>
          <a:ext cx="2143506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1">
              <a:solidFill>
                <a:schemeClr val="accent1">
                  <a:lumMod val="75000"/>
                </a:schemeClr>
              </a:solidFill>
            </a:rPr>
            <a:t>CPFs Face+Digital:        </a:t>
          </a:r>
          <a:r>
            <a:rPr lang="pt-BR" sz="1200" b="1">
              <a:solidFill>
                <a:srgbClr val="C00000"/>
              </a:solidFill>
            </a:rPr>
            <a:t>654</a:t>
          </a:r>
        </a:p>
      </xdr:txBody>
    </xdr:sp>
    <xdr:clientData/>
  </xdr:twoCellAnchor>
  <xdr:twoCellAnchor>
    <xdr:from>
      <xdr:col>4</xdr:col>
      <xdr:colOff>276226</xdr:colOff>
      <xdr:row>19</xdr:row>
      <xdr:rowOff>21290</xdr:rowOff>
    </xdr:from>
    <xdr:to>
      <xdr:col>7</xdr:col>
      <xdr:colOff>542926</xdr:colOff>
      <xdr:row>21</xdr:row>
      <xdr:rowOff>30815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49CB777F-E390-1CB3-1AB7-43E9415C2BCC}"/>
            </a:ext>
          </a:extLst>
        </xdr:cNvPr>
        <xdr:cNvSpPr txBox="1"/>
      </xdr:nvSpPr>
      <xdr:spPr>
        <a:xfrm>
          <a:off x="2696697" y="3640790"/>
          <a:ext cx="2082053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1">
              <a:solidFill>
                <a:schemeClr val="accent1">
                  <a:lumMod val="75000"/>
                </a:schemeClr>
              </a:solidFill>
            </a:rPr>
            <a:t>CPFs somente Face:      </a:t>
          </a:r>
          <a:r>
            <a:rPr lang="pt-BR" sz="1200" b="1">
              <a:solidFill>
                <a:srgbClr val="00B0F0"/>
              </a:solidFill>
            </a:rPr>
            <a:t>1221</a:t>
          </a:r>
        </a:p>
      </xdr:txBody>
    </xdr:sp>
    <xdr:clientData/>
  </xdr:twoCellAnchor>
  <xdr:twoCellAnchor>
    <xdr:from>
      <xdr:col>8</xdr:col>
      <xdr:colOff>190501</xdr:colOff>
      <xdr:row>19</xdr:row>
      <xdr:rowOff>40340</xdr:rowOff>
    </xdr:from>
    <xdr:to>
      <xdr:col>11</xdr:col>
      <xdr:colOff>457201</xdr:colOff>
      <xdr:row>21</xdr:row>
      <xdr:rowOff>49865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FCB45CCC-0D10-A575-6E59-BFDC41F078A0}"/>
            </a:ext>
          </a:extLst>
        </xdr:cNvPr>
        <xdr:cNvSpPr txBox="1"/>
      </xdr:nvSpPr>
      <xdr:spPr>
        <a:xfrm>
          <a:off x="5031442" y="3659840"/>
          <a:ext cx="2082053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1">
              <a:solidFill>
                <a:schemeClr val="accent1">
                  <a:lumMod val="75000"/>
                </a:schemeClr>
              </a:solidFill>
            </a:rPr>
            <a:t>CPFs somente Face:      </a:t>
          </a:r>
          <a:r>
            <a:rPr lang="pt-BR" sz="1200" b="1">
              <a:solidFill>
                <a:schemeClr val="accent6">
                  <a:lumMod val="75000"/>
                </a:schemeClr>
              </a:solidFill>
            </a:rPr>
            <a:t>1827</a:t>
          </a:r>
        </a:p>
      </xdr:txBody>
    </xdr:sp>
    <xdr:clientData/>
  </xdr:twoCellAnchor>
  <xdr:twoCellAnchor>
    <xdr:from>
      <xdr:col>1</xdr:col>
      <xdr:colOff>353786</xdr:colOff>
      <xdr:row>32</xdr:row>
      <xdr:rowOff>1</xdr:rowOff>
    </xdr:from>
    <xdr:to>
      <xdr:col>9</xdr:col>
      <xdr:colOff>316568</xdr:colOff>
      <xdr:row>45</xdr:row>
      <xdr:rowOff>173851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4466B4F-0AB5-40C8-B204-60A0264DA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242205</xdr:colOff>
      <xdr:row>21</xdr:row>
      <xdr:rowOff>116540</xdr:rowOff>
    </xdr:from>
    <xdr:to>
      <xdr:col>13</xdr:col>
      <xdr:colOff>22026</xdr:colOff>
      <xdr:row>23</xdr:row>
      <xdr:rowOff>78440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C0CF8375-1D6F-939E-C557-56E4D48543C1}"/>
            </a:ext>
          </a:extLst>
        </xdr:cNvPr>
        <xdr:cNvSpPr/>
      </xdr:nvSpPr>
      <xdr:spPr>
        <a:xfrm>
          <a:off x="242205" y="4117040"/>
          <a:ext cx="7740000" cy="342900"/>
        </a:xfrm>
        <a:prstGeom prst="roundRect">
          <a:avLst>
            <a:gd name="adj" fmla="val 8334"/>
          </a:avLst>
        </a:prstGeom>
        <a:solidFill>
          <a:srgbClr val="FF9200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📊 DETALHAMENTO</a:t>
          </a:r>
          <a:r>
            <a:rPr lang="pt-BR" sz="1200" b="1" baseline="0"/>
            <a:t> POR ORIGEM</a:t>
          </a:r>
          <a:endParaRPr lang="pt-BR" sz="1200" b="1"/>
        </a:p>
      </xdr:txBody>
    </xdr:sp>
    <xdr:clientData/>
  </xdr:twoCellAnchor>
  <xdr:twoCellAnchor>
    <xdr:from>
      <xdr:col>1</xdr:col>
      <xdr:colOff>0</xdr:colOff>
      <xdr:row>29</xdr:row>
      <xdr:rowOff>161925</xdr:rowOff>
    </xdr:from>
    <xdr:to>
      <xdr:col>7</xdr:col>
      <xdr:colOff>333375</xdr:colOff>
      <xdr:row>31</xdr:row>
      <xdr:rowOff>123825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D3F2D48F-1197-44BE-BD31-CB714AE1272F}"/>
            </a:ext>
          </a:extLst>
        </xdr:cNvPr>
        <xdr:cNvSpPr/>
      </xdr:nvSpPr>
      <xdr:spPr>
        <a:xfrm>
          <a:off x="609600" y="5686425"/>
          <a:ext cx="3990975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3</xdr:col>
      <xdr:colOff>598240</xdr:colOff>
      <xdr:row>33</xdr:row>
      <xdr:rowOff>47068</xdr:rowOff>
    </xdr:from>
    <xdr:to>
      <xdr:col>8</xdr:col>
      <xdr:colOff>557897</xdr:colOff>
      <xdr:row>34</xdr:row>
      <xdr:rowOff>189943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3CBE73B9-3CCF-618F-6370-CC77CDC7BB84}"/>
            </a:ext>
          </a:extLst>
        </xdr:cNvPr>
        <xdr:cNvSpPr txBox="1"/>
      </xdr:nvSpPr>
      <xdr:spPr>
        <a:xfrm>
          <a:off x="2435204" y="6333568"/>
          <a:ext cx="3021264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i="0" baseline="0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CADASTRO POR TIPO DE BIOMETRIA</a:t>
          </a:r>
          <a:endParaRPr lang="pt-BR" sz="1400">
            <a:solidFill>
              <a:schemeClr val="accent1">
                <a:lumMod val="75000"/>
              </a:schemeClr>
            </a:solidFill>
            <a:effectLst/>
          </a:endParaRPr>
        </a:p>
      </xdr:txBody>
    </xdr:sp>
    <xdr:clientData/>
  </xdr:twoCellAnchor>
  <xdr:twoCellAnchor editAs="oneCell">
    <xdr:from>
      <xdr:col>0</xdr:col>
      <xdr:colOff>258536</xdr:colOff>
      <xdr:row>23</xdr:row>
      <xdr:rowOff>126789</xdr:rowOff>
    </xdr:from>
    <xdr:to>
      <xdr:col>13</xdr:col>
      <xdr:colOff>38357</xdr:colOff>
      <xdr:row>32</xdr:row>
      <xdr:rowOff>142762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DF195B08-B176-DBD8-2864-55B3D1252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536" y="4508289"/>
          <a:ext cx="7740000" cy="1730473"/>
        </a:xfrm>
        <a:prstGeom prst="rect">
          <a:avLst/>
        </a:prstGeom>
      </xdr:spPr>
    </xdr:pic>
    <xdr:clientData/>
  </xdr:twoCellAnchor>
  <xdr:twoCellAnchor>
    <xdr:from>
      <xdr:col>13</xdr:col>
      <xdr:colOff>379640</xdr:colOff>
      <xdr:row>21</xdr:row>
      <xdr:rowOff>127907</xdr:rowOff>
    </xdr:from>
    <xdr:to>
      <xdr:col>26</xdr:col>
      <xdr:colOff>159462</xdr:colOff>
      <xdr:row>23</xdr:row>
      <xdr:rowOff>89807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12E6E0CD-C5CE-00AF-EFF2-9B201663857B}"/>
            </a:ext>
          </a:extLst>
        </xdr:cNvPr>
        <xdr:cNvSpPr/>
      </xdr:nvSpPr>
      <xdr:spPr>
        <a:xfrm>
          <a:off x="8339819" y="4128407"/>
          <a:ext cx="7740000" cy="342900"/>
        </a:xfrm>
        <a:prstGeom prst="roundRect">
          <a:avLst>
            <a:gd name="adj" fmla="val 8334"/>
          </a:avLst>
        </a:prstGeom>
        <a:solidFill>
          <a:srgbClr val="FF9200"/>
        </a:solidFill>
        <a:ln>
          <a:noFill/>
        </a:ln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📊 </a:t>
          </a:r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DETALHAMENTO</a:t>
          </a:r>
          <a:r>
            <a:rPr lang="pt-BR" sz="1100" b="1"/>
            <a:t> POR</a:t>
          </a:r>
          <a:r>
            <a:rPr lang="pt-BR" sz="1100" b="1" baseline="0"/>
            <a:t> CANAL</a:t>
          </a:r>
          <a:endParaRPr lang="pt-BR" sz="1100" b="1"/>
        </a:p>
      </xdr:txBody>
    </xdr:sp>
    <xdr:clientData/>
  </xdr:twoCellAnchor>
  <xdr:twoCellAnchor>
    <xdr:from>
      <xdr:col>13</xdr:col>
      <xdr:colOff>540203</xdr:colOff>
      <xdr:row>16</xdr:row>
      <xdr:rowOff>153280</xdr:rowOff>
    </xdr:from>
    <xdr:to>
      <xdr:col>17</xdr:col>
      <xdr:colOff>449036</xdr:colOff>
      <xdr:row>18</xdr:row>
      <xdr:rowOff>162805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B4A8C3-B145-F891-854D-B1B31BF1201D}"/>
            </a:ext>
          </a:extLst>
        </xdr:cNvPr>
        <xdr:cNvSpPr txBox="1"/>
      </xdr:nvSpPr>
      <xdr:spPr>
        <a:xfrm>
          <a:off x="8500382" y="3201280"/>
          <a:ext cx="2358118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1">
              <a:solidFill>
                <a:schemeClr val="accent1">
                  <a:lumMod val="75000"/>
                </a:schemeClr>
              </a:solidFill>
            </a:rPr>
            <a:t>Total  Autenticações:             3702</a:t>
          </a:r>
        </a:p>
      </xdr:txBody>
    </xdr:sp>
    <xdr:clientData/>
  </xdr:twoCellAnchor>
  <xdr:twoCellAnchor>
    <xdr:from>
      <xdr:col>13</xdr:col>
      <xdr:colOff>571498</xdr:colOff>
      <xdr:row>19</xdr:row>
      <xdr:rowOff>29455</xdr:rowOff>
    </xdr:from>
    <xdr:to>
      <xdr:col>17</xdr:col>
      <xdr:colOff>294534</xdr:colOff>
      <xdr:row>21</xdr:row>
      <xdr:rowOff>38980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47243BC4-D811-F681-71A5-480FFA486B16}"/>
            </a:ext>
          </a:extLst>
        </xdr:cNvPr>
        <xdr:cNvSpPr txBox="1"/>
      </xdr:nvSpPr>
      <xdr:spPr>
        <a:xfrm>
          <a:off x="8531677" y="3648955"/>
          <a:ext cx="2172321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1">
              <a:solidFill>
                <a:schemeClr val="accent1">
                  <a:lumMod val="75000"/>
                </a:schemeClr>
              </a:solidFill>
            </a:rPr>
            <a:t>Por Digitais:        </a:t>
          </a:r>
          <a:r>
            <a:rPr lang="pt-BR" sz="1200" b="1">
              <a:solidFill>
                <a:srgbClr val="00B0F0"/>
              </a:solidFill>
            </a:rPr>
            <a:t>16.013</a:t>
          </a:r>
        </a:p>
      </xdr:txBody>
    </xdr:sp>
    <xdr:clientData/>
  </xdr:twoCellAnchor>
  <xdr:twoCellAnchor>
    <xdr:from>
      <xdr:col>18</xdr:col>
      <xdr:colOff>167365</xdr:colOff>
      <xdr:row>19</xdr:row>
      <xdr:rowOff>48505</xdr:rowOff>
    </xdr:from>
    <xdr:to>
      <xdr:col>21</xdr:col>
      <xdr:colOff>434065</xdr:colOff>
      <xdr:row>21</xdr:row>
      <xdr:rowOff>58030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C879389C-6202-BA8C-08C1-6EB2FC701283}"/>
            </a:ext>
          </a:extLst>
        </xdr:cNvPr>
        <xdr:cNvSpPr txBox="1"/>
      </xdr:nvSpPr>
      <xdr:spPr>
        <a:xfrm>
          <a:off x="11189151" y="3668005"/>
          <a:ext cx="2103664" cy="390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 b="1">
              <a:solidFill>
                <a:schemeClr val="accent1">
                  <a:lumMod val="75000"/>
                </a:schemeClr>
              </a:solidFill>
            </a:rPr>
            <a:t>Por</a:t>
          </a:r>
          <a:r>
            <a:rPr lang="pt-BR" sz="1200" b="1" baseline="0">
              <a:solidFill>
                <a:schemeClr val="accent1">
                  <a:lumMod val="75000"/>
                </a:schemeClr>
              </a:solidFill>
            </a:rPr>
            <a:t> </a:t>
          </a:r>
          <a:r>
            <a:rPr lang="pt-BR" sz="1200" b="1">
              <a:solidFill>
                <a:schemeClr val="accent1">
                  <a:lumMod val="75000"/>
                </a:schemeClr>
              </a:solidFill>
            </a:rPr>
            <a:t>Face:      </a:t>
          </a:r>
          <a:r>
            <a:rPr lang="pt-BR" sz="1200" b="1">
              <a:solidFill>
                <a:srgbClr val="C00000"/>
              </a:solidFill>
            </a:rPr>
            <a:t>1221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85725</xdr:rowOff>
    </xdr:from>
    <xdr:to>
      <xdr:col>30</xdr:col>
      <xdr:colOff>114300</xdr:colOff>
      <xdr:row>52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AB78413-B788-66F3-56ED-4AF957806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85725"/>
          <a:ext cx="18154650" cy="987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123825</xdr:rowOff>
    </xdr:from>
    <xdr:to>
      <xdr:col>27</xdr:col>
      <xdr:colOff>561975</xdr:colOff>
      <xdr:row>64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D5379D-7750-AAA7-3940-B90B121A6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23825"/>
          <a:ext cx="16897350" cy="1224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FF16-ECE8-4654-9620-B24BB7813FE2}">
  <dimension ref="A1:I14"/>
  <sheetViews>
    <sheetView zoomScale="115" zoomScaleNormal="115" workbookViewId="0">
      <selection activeCell="E7" sqref="E7"/>
    </sheetView>
  </sheetViews>
  <sheetFormatPr defaultColWidth="9.28515625" defaultRowHeight="15" x14ac:dyDescent="0.25"/>
  <cols>
    <col min="1" max="1" width="27.28515625" style="1" customWidth="1"/>
    <col min="2" max="5" width="23.85546875" style="1" customWidth="1"/>
    <col min="6" max="6" width="10.85546875" style="1" customWidth="1"/>
    <col min="7" max="8" width="9.28515625" style="1"/>
    <col min="9" max="9" width="12.85546875" style="1" customWidth="1"/>
    <col min="10" max="16384" width="9.28515625" style="1"/>
  </cols>
  <sheetData>
    <row r="1" spans="1:9" ht="26.25" customHeight="1" x14ac:dyDescent="0.25">
      <c r="A1" s="21" t="s">
        <v>9</v>
      </c>
      <c r="B1" s="20"/>
      <c r="C1" s="20"/>
      <c r="D1" s="20"/>
      <c r="E1" s="20"/>
    </row>
    <row r="2" spans="1:9" ht="34.35" customHeight="1" x14ac:dyDescent="0.25">
      <c r="A2" s="3" t="s">
        <v>5</v>
      </c>
      <c r="B2" s="4" t="s">
        <v>18</v>
      </c>
      <c r="C2" s="4" t="s">
        <v>19</v>
      </c>
      <c r="D2" s="4" t="s">
        <v>20</v>
      </c>
      <c r="E2" s="4" t="s">
        <v>21</v>
      </c>
    </row>
    <row r="3" spans="1:9" ht="34.35" customHeight="1" thickBot="1" x14ac:dyDescent="0.3">
      <c r="A3" s="8" t="s">
        <v>17</v>
      </c>
      <c r="B3" s="13">
        <v>111</v>
      </c>
      <c r="C3" s="13">
        <v>222</v>
      </c>
      <c r="D3" s="6">
        <v>333</v>
      </c>
      <c r="E3" s="6">
        <f>SUM(B3:D3)</f>
        <v>666</v>
      </c>
      <c r="F3" s="2"/>
      <c r="G3" s="2"/>
      <c r="H3" s="2"/>
      <c r="I3" s="2"/>
    </row>
    <row r="4" spans="1:9" ht="34.35" customHeight="1" thickBot="1" x14ac:dyDescent="0.3">
      <c r="A4" s="11" t="s">
        <v>1</v>
      </c>
      <c r="B4" s="14">
        <v>123</v>
      </c>
      <c r="C4" s="14">
        <v>0</v>
      </c>
      <c r="D4" s="14">
        <v>0</v>
      </c>
      <c r="E4" s="14">
        <f>SUM(B4:D4)</f>
        <v>123</v>
      </c>
    </row>
    <row r="5" spans="1:9" ht="34.35" customHeight="1" thickBot="1" x14ac:dyDescent="0.3">
      <c r="A5" s="9" t="s">
        <v>3</v>
      </c>
      <c r="B5" s="7">
        <v>987</v>
      </c>
      <c r="C5" s="7">
        <v>654</v>
      </c>
      <c r="D5" s="7">
        <v>321</v>
      </c>
      <c r="E5" s="7">
        <f>SUM(B5:D5)</f>
        <v>1962</v>
      </c>
    </row>
    <row r="6" spans="1:9" ht="34.35" customHeight="1" thickBot="1" x14ac:dyDescent="0.3">
      <c r="A6" s="12" t="s">
        <v>23</v>
      </c>
      <c r="B6" s="15">
        <v>0</v>
      </c>
      <c r="C6" s="15">
        <v>951</v>
      </c>
      <c r="D6" s="15">
        <v>0</v>
      </c>
      <c r="E6" s="15">
        <f>SUM(B6:D6)</f>
        <v>951</v>
      </c>
      <c r="I6" s="5"/>
    </row>
    <row r="7" spans="1:9" ht="34.35" customHeight="1" thickTop="1" thickBot="1" x14ac:dyDescent="0.3">
      <c r="A7" s="10" t="s">
        <v>6</v>
      </c>
      <c r="B7" s="13">
        <f>SUM(B3:B6)</f>
        <v>1221</v>
      </c>
      <c r="C7" s="13">
        <f>SUM(C3:C6)</f>
        <v>1827</v>
      </c>
      <c r="D7" s="13">
        <f>SUM(D3:D6)</f>
        <v>654</v>
      </c>
      <c r="E7" s="10">
        <f>SUM(E3:E6)</f>
        <v>3702</v>
      </c>
    </row>
    <row r="8" spans="1:9" ht="34.35" customHeight="1" x14ac:dyDescent="0.25"/>
    <row r="9" spans="1:9" ht="34.35" customHeight="1" x14ac:dyDescent="0.25"/>
    <row r="10" spans="1:9" ht="34.35" customHeight="1" x14ac:dyDescent="0.25"/>
    <row r="11" spans="1:9" ht="34.35" customHeight="1" x14ac:dyDescent="0.25"/>
    <row r="12" spans="1:9" ht="34.35" customHeight="1" x14ac:dyDescent="0.25"/>
    <row r="13" spans="1:9" ht="34.35" customHeight="1" x14ac:dyDescent="0.25"/>
    <row r="14" spans="1:9" ht="34.35" customHeigh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C5D4-9BDD-47C1-BDC5-E0665926DE2D}">
  <dimension ref="A1:E8"/>
  <sheetViews>
    <sheetView topLeftCell="A2" zoomScale="115" zoomScaleNormal="115" workbookViewId="0">
      <selection activeCell="K6" sqref="K6"/>
    </sheetView>
  </sheetViews>
  <sheetFormatPr defaultRowHeight="15" x14ac:dyDescent="0.25"/>
  <cols>
    <col min="1" max="2" width="17.7109375" customWidth="1"/>
    <col min="3" max="5" width="18.140625" customWidth="1"/>
  </cols>
  <sheetData>
    <row r="1" spans="1:5" ht="30.6" customHeight="1" x14ac:dyDescent="0.25">
      <c r="A1" s="68" t="s">
        <v>8</v>
      </c>
      <c r="B1" s="68"/>
      <c r="C1" s="69"/>
      <c r="D1" s="69"/>
      <c r="E1" s="69"/>
    </row>
    <row r="2" spans="1:5" ht="17.100000000000001" customHeight="1" thickBot="1" x14ac:dyDescent="0.3">
      <c r="A2" s="19" t="s">
        <v>4</v>
      </c>
      <c r="B2" s="70" t="s">
        <v>7</v>
      </c>
      <c r="C2" s="70"/>
      <c r="D2" s="70" t="s">
        <v>0</v>
      </c>
      <c r="E2" s="70"/>
    </row>
    <row r="3" spans="1:5" ht="17.100000000000001" customHeight="1" thickBot="1" x14ac:dyDescent="0.3">
      <c r="A3" s="36"/>
      <c r="B3" s="36" t="s">
        <v>37</v>
      </c>
      <c r="C3" s="37" t="s">
        <v>38</v>
      </c>
      <c r="D3" s="37" t="s">
        <v>39</v>
      </c>
      <c r="E3" s="37" t="s">
        <v>38</v>
      </c>
    </row>
    <row r="4" spans="1:5" ht="31.9" customHeight="1" thickBot="1" x14ac:dyDescent="0.3">
      <c r="A4" s="9" t="s">
        <v>15</v>
      </c>
      <c r="B4" s="38">
        <v>68514</v>
      </c>
      <c r="C4" s="18">
        <v>5678</v>
      </c>
      <c r="D4" s="18">
        <v>87956</v>
      </c>
      <c r="E4" s="18">
        <v>555</v>
      </c>
    </row>
    <row r="5" spans="1:5" ht="31.9" customHeight="1" thickBot="1" x14ac:dyDescent="0.3">
      <c r="A5" s="11" t="s">
        <v>2</v>
      </c>
      <c r="B5" s="39">
        <v>86846</v>
      </c>
      <c r="C5" s="17">
        <v>9101</v>
      </c>
      <c r="D5" s="17">
        <v>5641</v>
      </c>
      <c r="E5" s="17">
        <v>456</v>
      </c>
    </row>
    <row r="6" spans="1:5" ht="31.9" customHeight="1" thickBot="1" x14ac:dyDescent="0.3">
      <c r="A6" s="8" t="s">
        <v>14</v>
      </c>
      <c r="B6" s="6">
        <v>56646</v>
      </c>
      <c r="C6" s="16">
        <v>0</v>
      </c>
      <c r="D6" s="16">
        <v>54654</v>
      </c>
      <c r="E6" s="16">
        <v>12345</v>
      </c>
    </row>
    <row r="7" spans="1:5" ht="31.9" customHeight="1" thickBot="1" x14ac:dyDescent="0.3">
      <c r="A7" s="11" t="s">
        <v>16</v>
      </c>
      <c r="B7" s="39">
        <v>55419</v>
      </c>
      <c r="C7" s="17">
        <v>1234</v>
      </c>
      <c r="D7" s="17">
        <v>16514</v>
      </c>
      <c r="E7" s="17">
        <v>0</v>
      </c>
    </row>
    <row r="8" spans="1:5" ht="21.95" customHeight="1" thickBot="1" x14ac:dyDescent="0.3">
      <c r="A8" s="10" t="s">
        <v>6</v>
      </c>
      <c r="B8" s="16">
        <f>SUM(B4:B7)</f>
        <v>267425</v>
      </c>
      <c r="C8" s="16">
        <f>SUM(C4:C7)</f>
        <v>16013</v>
      </c>
      <c r="D8" s="16">
        <f>SUM(D4:D7)</f>
        <v>164765</v>
      </c>
      <c r="E8" s="16">
        <f>SUM(E4:E7)</f>
        <v>13356</v>
      </c>
    </row>
  </sheetData>
  <mergeCells count="3">
    <mergeCell ref="A1:E1"/>
    <mergeCell ref="B2:C2"/>
    <mergeCell ref="D2:E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1664-C432-4493-B204-EA209E440F9E}">
  <dimension ref="A1:L16"/>
  <sheetViews>
    <sheetView showGridLines="0" topLeftCell="B18" workbookViewId="0">
      <selection activeCell="H10" sqref="H10"/>
    </sheetView>
  </sheetViews>
  <sheetFormatPr defaultRowHeight="15" x14ac:dyDescent="0.25"/>
  <cols>
    <col min="1" max="1" width="36.140625" customWidth="1"/>
    <col min="2" max="2" width="18.5703125" customWidth="1"/>
    <col min="3" max="3" width="21.5703125" customWidth="1"/>
    <col min="4" max="4" width="20.85546875" customWidth="1"/>
    <col min="5" max="5" width="23.5703125" customWidth="1"/>
    <col min="6" max="6" width="14.42578125" customWidth="1"/>
    <col min="7" max="7" width="14.140625" customWidth="1"/>
    <col min="8" max="8" width="26.85546875" customWidth="1"/>
    <col min="9" max="9" width="15.28515625" customWidth="1"/>
    <col min="10" max="12" width="14.42578125" customWidth="1"/>
  </cols>
  <sheetData>
    <row r="1" spans="1:12" ht="23.25" x14ac:dyDescent="0.35">
      <c r="A1" s="24" t="s">
        <v>26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6" t="s">
        <v>27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ht="18.75" x14ac:dyDescent="0.3">
      <c r="A4" s="29" t="s">
        <v>28</v>
      </c>
      <c r="B4" s="28"/>
      <c r="C4" s="28"/>
      <c r="D4" s="28"/>
      <c r="E4" s="28"/>
      <c r="F4" s="28"/>
      <c r="H4" s="32" t="s">
        <v>33</v>
      </c>
      <c r="I4" s="33"/>
      <c r="J4" s="33"/>
      <c r="K4" s="33"/>
      <c r="L4" s="33"/>
    </row>
    <row r="6" spans="1:12" ht="15.75" x14ac:dyDescent="0.25">
      <c r="A6" s="46" t="s">
        <v>29</v>
      </c>
      <c r="B6" s="47">
        <f>Cadastros!E7</f>
        <v>3702</v>
      </c>
      <c r="C6" s="48"/>
      <c r="D6" s="48"/>
      <c r="E6" s="48"/>
      <c r="F6" s="48"/>
      <c r="H6" s="58" t="s">
        <v>22</v>
      </c>
      <c r="I6" s="59">
        <f>Autenticações!C8+Autenticações!E8</f>
        <v>29369</v>
      </c>
      <c r="J6" s="60"/>
      <c r="K6" s="60"/>
      <c r="L6" s="60"/>
    </row>
    <row r="7" spans="1:12" ht="15.75" x14ac:dyDescent="0.25">
      <c r="A7" s="49"/>
      <c r="B7" s="50"/>
      <c r="C7" s="51"/>
      <c r="D7" s="51"/>
      <c r="E7" s="51"/>
      <c r="F7" s="51"/>
      <c r="H7" s="61"/>
      <c r="I7" s="61"/>
      <c r="J7" s="62"/>
      <c r="K7" s="63"/>
      <c r="L7" s="61"/>
    </row>
    <row r="8" spans="1:12" ht="15.75" x14ac:dyDescent="0.25">
      <c r="A8" s="52" t="s">
        <v>30</v>
      </c>
      <c r="B8" s="53">
        <f>Cadastros!D7</f>
        <v>654</v>
      </c>
      <c r="C8" s="54" t="s">
        <v>40</v>
      </c>
      <c r="D8" s="55">
        <f>Cadastros!B7</f>
        <v>1221</v>
      </c>
      <c r="E8" s="56" t="s">
        <v>41</v>
      </c>
      <c r="F8" s="57">
        <f>Cadastros!C7</f>
        <v>1827</v>
      </c>
      <c r="H8" s="64" t="s">
        <v>34</v>
      </c>
      <c r="I8" s="65">
        <f>Autenticações!C8</f>
        <v>16013</v>
      </c>
      <c r="J8" s="66" t="s">
        <v>35</v>
      </c>
      <c r="K8" s="67">
        <f>Autenticações!E8</f>
        <v>13356</v>
      </c>
      <c r="L8" s="66"/>
    </row>
    <row r="10" spans="1:12" ht="15.75" x14ac:dyDescent="0.25">
      <c r="A10" s="31" t="s">
        <v>31</v>
      </c>
      <c r="B10" s="30"/>
      <c r="C10" s="30"/>
      <c r="D10" s="30"/>
      <c r="E10" s="30"/>
      <c r="H10" s="34" t="s">
        <v>36</v>
      </c>
      <c r="I10" s="35"/>
      <c r="J10" s="35"/>
      <c r="K10" s="35"/>
      <c r="L10" s="35"/>
    </row>
    <row r="11" spans="1:12" ht="21" customHeight="1" x14ac:dyDescent="0.25">
      <c r="A11" s="77" t="s">
        <v>5</v>
      </c>
      <c r="B11" s="78" t="s">
        <v>24</v>
      </c>
      <c r="C11" s="78" t="s">
        <v>25</v>
      </c>
      <c r="D11" s="78" t="s">
        <v>32</v>
      </c>
      <c r="E11" s="78" t="s">
        <v>13</v>
      </c>
      <c r="H11" s="22" t="s">
        <v>4</v>
      </c>
      <c r="I11" s="22" t="s">
        <v>11</v>
      </c>
      <c r="J11" s="22" t="s">
        <v>12</v>
      </c>
      <c r="K11" s="22" t="s">
        <v>13</v>
      </c>
      <c r="L11" s="22" t="s">
        <v>10</v>
      </c>
    </row>
    <row r="12" spans="1:12" ht="24" customHeight="1" x14ac:dyDescent="0.25">
      <c r="A12" s="74" t="str">
        <f>Cadastros!A3</f>
        <v>Agência 
SICDF e Plataforma CAIXA</v>
      </c>
      <c r="B12" s="75">
        <f>Cadastros!B3</f>
        <v>111</v>
      </c>
      <c r="C12" s="75">
        <f>Cadastros!C3</f>
        <v>222</v>
      </c>
      <c r="D12" s="75">
        <f>Cadastros!D3</f>
        <v>333</v>
      </c>
      <c r="E12" s="76">
        <f>Cadastros!E3</f>
        <v>666</v>
      </c>
      <c r="F12" s="41"/>
      <c r="H12" s="40" t="str">
        <f>Autenticações!A4</f>
        <v>Salas de Auto
Atendimento</v>
      </c>
      <c r="I12" s="42">
        <f>Autenticações!C4</f>
        <v>5678</v>
      </c>
      <c r="J12" s="42">
        <f>Autenticações!E4</f>
        <v>555</v>
      </c>
      <c r="K12" s="42">
        <f>I12+J12</f>
        <v>6233</v>
      </c>
      <c r="L12" s="43">
        <f>K12/$K$16</f>
        <v>0.21223058326807179</v>
      </c>
    </row>
    <row r="13" spans="1:12" ht="21.75" customHeight="1" x14ac:dyDescent="0.25">
      <c r="A13" s="74" t="str">
        <f>Cadastros!A4</f>
        <v>Canais 
Digitais</v>
      </c>
      <c r="B13" s="75">
        <f>Cadastros!B4</f>
        <v>123</v>
      </c>
      <c r="C13" s="75">
        <f>Cadastros!C4</f>
        <v>0</v>
      </c>
      <c r="D13" s="75">
        <f>Cadastros!D4</f>
        <v>0</v>
      </c>
      <c r="E13" s="76">
        <f>Cadastros!E4</f>
        <v>123</v>
      </c>
      <c r="F13" s="41"/>
      <c r="H13" s="40" t="str">
        <f>Autenticações!A5</f>
        <v>Unidades 
Lotéricas</v>
      </c>
      <c r="I13" s="42">
        <f>Autenticações!C5</f>
        <v>9101</v>
      </c>
      <c r="J13" s="42">
        <f>Autenticações!E5</f>
        <v>456</v>
      </c>
      <c r="K13" s="42">
        <f>I13+J13</f>
        <v>9557</v>
      </c>
      <c r="L13" s="43">
        <f>K13/$K$16</f>
        <v>0.32541114780891417</v>
      </c>
    </row>
    <row r="14" spans="1:12" ht="21.75" customHeight="1" x14ac:dyDescent="0.25">
      <c r="A14" s="74" t="str">
        <f>Cadastros!A5</f>
        <v>TSE</v>
      </c>
      <c r="B14" s="75">
        <f>Cadastros!B5</f>
        <v>987</v>
      </c>
      <c r="C14" s="75">
        <f>Cadastros!C5</f>
        <v>654</v>
      </c>
      <c r="D14" s="75">
        <f>Cadastros!D5</f>
        <v>321</v>
      </c>
      <c r="E14" s="76">
        <f>Cadastros!E5</f>
        <v>1962</v>
      </c>
      <c r="F14" s="41"/>
      <c r="H14" s="40" t="str">
        <f>Autenticações!A6</f>
        <v>Canais Digitais</v>
      </c>
      <c r="I14" s="42">
        <f>Autenticações!C6</f>
        <v>0</v>
      </c>
      <c r="J14" s="42">
        <f>Autenticações!E6</f>
        <v>12345</v>
      </c>
      <c r="K14" s="42">
        <f>I14+J14</f>
        <v>12345</v>
      </c>
      <c r="L14" s="43">
        <f>K14/$K$16</f>
        <v>0.42034117607000576</v>
      </c>
    </row>
    <row r="15" spans="1:12" ht="24.75" customHeight="1" x14ac:dyDescent="0.25">
      <c r="A15" s="74" t="str">
        <f>Cadastros!A6</f>
        <v>Salas de Autoatendimento</v>
      </c>
      <c r="B15" s="75">
        <f>Cadastros!B6</f>
        <v>0</v>
      </c>
      <c r="C15" s="75">
        <f>Cadastros!C6</f>
        <v>951</v>
      </c>
      <c r="D15" s="75">
        <f>Cadastros!D6</f>
        <v>0</v>
      </c>
      <c r="E15" s="76">
        <f>Cadastros!E6</f>
        <v>951</v>
      </c>
      <c r="F15" s="41"/>
      <c r="H15" s="40" t="str">
        <f>Autenticações!A7</f>
        <v>Banco24Horas</v>
      </c>
      <c r="I15" s="42">
        <f>Autenticações!C7</f>
        <v>1234</v>
      </c>
      <c r="J15" s="42">
        <f>Autenticações!E7</f>
        <v>0</v>
      </c>
      <c r="K15" s="42">
        <f>I15+J15</f>
        <v>1234</v>
      </c>
      <c r="L15" s="43">
        <f>K15/$K$16</f>
        <v>4.2017092853008274E-2</v>
      </c>
    </row>
    <row r="16" spans="1:12" ht="19.5" customHeight="1" x14ac:dyDescent="0.25">
      <c r="A16" s="71" t="s">
        <v>42</v>
      </c>
      <c r="B16" s="72">
        <f>SUM(B12:B15)</f>
        <v>1221</v>
      </c>
      <c r="C16" s="72">
        <f>SUM(C12:C15)</f>
        <v>1827</v>
      </c>
      <c r="D16" s="73">
        <f>SUM(D12:D15)</f>
        <v>654</v>
      </c>
      <c r="E16" s="72">
        <f>SUM(E12:E15)</f>
        <v>3702</v>
      </c>
      <c r="H16" s="23" t="s">
        <v>42</v>
      </c>
      <c r="I16" s="44">
        <f>SUM(I12:I15)</f>
        <v>16013</v>
      </c>
      <c r="J16" s="44">
        <f>SUM(J12:J15)</f>
        <v>13356</v>
      </c>
      <c r="K16" s="44">
        <f>SUM(K12:K15)</f>
        <v>29369</v>
      </c>
      <c r="L16" s="45">
        <f>SUM(L12:L15)</f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A55A-BB64-4DB3-8434-1F69F1F0F242}">
  <dimension ref="A1"/>
  <sheetViews>
    <sheetView showGridLines="0" tabSelected="1" topLeftCell="A19" zoomScale="70" zoomScaleNormal="70" workbookViewId="0">
      <selection activeCell="L51" sqref="L5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1879-3827-43FF-B052-6FC7608834C5}">
  <dimension ref="A1"/>
  <sheetViews>
    <sheetView showGridLines="0" topLeftCell="A49" workbookViewId="0">
      <selection activeCell="L56" sqref="L5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4AE8-E918-4BC5-8A3E-DA640D94056A}">
  <dimension ref="A1"/>
  <sheetViews>
    <sheetView showGridLines="0" topLeftCell="A37" workbookViewId="0">
      <selection activeCell="E3" sqref="E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Cadastros</vt:lpstr>
      <vt:lpstr>Autenticações</vt:lpstr>
      <vt:lpstr>Dashboard</vt:lpstr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Rodrigues Alencar de Rezende</dc:creator>
  <cp:lastModifiedBy>Gelson Ney dos Santos Rodrigues</cp:lastModifiedBy>
  <dcterms:created xsi:type="dcterms:W3CDTF">2025-01-28T15:13:40Z</dcterms:created>
  <dcterms:modified xsi:type="dcterms:W3CDTF">2026-05-21T18:41:34Z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56d300-f888-4f70-a891-a1fe8a6ebcb0_Enabled">
    <vt:lpwstr>true</vt:lpwstr>
  </property>
  <property fmtid="{D5CDD505-2E9C-101B-9397-08002B2CF9AE}" pid="3" name="MSIP_Label_7b56d300-f888-4f70-a891-a1fe8a6ebcb0_SetDate">
    <vt:lpwstr>2025-01-28T15:35:04Z</vt:lpwstr>
  </property>
  <property fmtid="{D5CDD505-2E9C-101B-9397-08002B2CF9AE}" pid="4" name="MSIP_Label_7b56d300-f888-4f70-a891-a1fe8a6ebcb0_Method">
    <vt:lpwstr>Privileged</vt:lpwstr>
  </property>
  <property fmtid="{D5CDD505-2E9C-101B-9397-08002B2CF9AE}" pid="5" name="MSIP_Label_7b56d300-f888-4f70-a891-a1fe8a6ebcb0_Name">
    <vt:lpwstr>#INTERNO.TODOS</vt:lpwstr>
  </property>
  <property fmtid="{D5CDD505-2E9C-101B-9397-08002B2CF9AE}" pid="6" name="MSIP_Label_7b56d300-f888-4f70-a891-a1fe8a6ebcb0_SiteId">
    <vt:lpwstr>ab9bba98-684a-43fb-add8-9c2bebede229</vt:lpwstr>
  </property>
  <property fmtid="{D5CDD505-2E9C-101B-9397-08002B2CF9AE}" pid="7" name="MSIP_Label_7b56d300-f888-4f70-a891-a1fe8a6ebcb0_ActionId">
    <vt:lpwstr>b07b5b91-da79-4e8c-a51e-30daaca3f7f4</vt:lpwstr>
  </property>
  <property fmtid="{D5CDD505-2E9C-101B-9397-08002B2CF9AE}" pid="8" name="MSIP_Label_7b56d300-f888-4f70-a891-a1fe8a6ebcb0_ContentBits">
    <vt:lpwstr>1</vt:lpwstr>
  </property>
</Properties>
</file>